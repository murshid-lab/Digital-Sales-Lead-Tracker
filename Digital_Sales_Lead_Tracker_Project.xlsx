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Overview" sheetId="1" r:id="rId4"/>
    <sheet state="visible" name="Lead Tracker" sheetId="2" r:id="rId5"/>
    <sheet state="visible" name="Dashboard" sheetId="3" r:id="rId6"/>
  </sheets>
  <definedNames>
    <definedName hidden="1" localSheetId="1" name="_xlnm._FilterDatabase">'Lead Tracker'!$A$1:$F$11</definedName>
  </definedNames>
  <calcPr/>
</workbook>
</file>

<file path=xl/sharedStrings.xml><?xml version="1.0" encoding="utf-8"?>
<sst xmlns="http://schemas.openxmlformats.org/spreadsheetml/2006/main" count="81" uniqueCount="68">
  <si>
    <t>PROJECT: DIGITAL SALES &amp; LEAD GENERATION</t>
  </si>
  <si>
    <t>Objective</t>
  </si>
  <si>
    <t>Track sample digital leads, customer follow-ups, sales stages, conversions, and revenue.</t>
  </si>
  <si>
    <t>Tools</t>
  </si>
  <si>
    <t>Microsoft Excel / Google Sheets</t>
  </si>
  <si>
    <t>Skills demonstrated</t>
  </si>
  <si>
    <t>Lead tracking, follow-up planning, sales pipeline management, basic reporting</t>
  </si>
  <si>
    <t>Resume-ready summary</t>
  </si>
  <si>
    <t>Created a sample digital sales lead tracker to organize leads by source and sales status, schedule follow-ups, and monitor conversion and sample revenue through an automated dashboard.</t>
  </si>
  <si>
    <t>Sample project results</t>
  </si>
  <si>
    <t>10 demo leads, 2 demo conversions, ₹3,500 sample revenue, 20% demo conversion rate.</t>
  </si>
  <si>
    <t>Important note</t>
  </si>
  <si>
    <t>This is a practice project using fictional demo records. Use actual results only if you complete the work with real data.</t>
  </si>
  <si>
    <t>Customer</t>
  </si>
  <si>
    <t>Lead Source</t>
  </si>
  <si>
    <t>Lead Status</t>
  </si>
  <si>
    <t>Follow-up Date</t>
  </si>
  <si>
    <t>Notes</t>
  </si>
  <si>
    <t>Sample Revenue (₹)</t>
  </si>
  <si>
    <t>Demo Customer 1</t>
  </si>
  <si>
    <t>Instagram</t>
  </si>
  <si>
    <t>Interested</t>
  </si>
  <si>
    <t>2026-10-15</t>
  </si>
  <si>
    <t>Follow-up scheduled</t>
  </si>
  <si>
    <t>Demo Customer 2</t>
  </si>
  <si>
    <t>Facebook</t>
  </si>
  <si>
    <t>Contacted</t>
  </si>
  <si>
    <t>2026-10-16</t>
  </si>
  <si>
    <t>Awaiting response</t>
  </si>
  <si>
    <t>Demo Customer 3</t>
  </si>
  <si>
    <t>Website</t>
  </si>
  <si>
    <t>Converted</t>
  </si>
  <si>
    <t>Completed</t>
  </si>
  <si>
    <t>Demo conversion record</t>
  </si>
  <si>
    <t>Demo Customer 4</t>
  </si>
  <si>
    <t>Follow-up</t>
  </si>
  <si>
    <t>2026-10-17</t>
  </si>
  <si>
    <t>Needs product details</t>
  </si>
  <si>
    <t>Demo Customer 5</t>
  </si>
  <si>
    <t>New Lead</t>
  </si>
  <si>
    <t>2026-10-18</t>
  </si>
  <si>
    <t>Not contacted yet</t>
  </si>
  <si>
    <t>Demo Customer 6</t>
  </si>
  <si>
    <t>2026-10-19</t>
  </si>
  <si>
    <t>Asked for pricing</t>
  </si>
  <si>
    <t>Demo Customer 7</t>
  </si>
  <si>
    <t>Demo Customer 8</t>
  </si>
  <si>
    <t>Referral</t>
  </si>
  <si>
    <t>2026-10-20</t>
  </si>
  <si>
    <t>Call planned</t>
  </si>
  <si>
    <t>Demo Customer 9</t>
  </si>
  <si>
    <t>Lost</t>
  </si>
  <si>
    <t>Closed</t>
  </si>
  <si>
    <t>Not interested</t>
  </si>
  <si>
    <t>Demo Customer 10</t>
  </si>
  <si>
    <t>2026-10-21</t>
  </si>
  <si>
    <t>DIGITAL SALES &amp; LEAD GENERATION</t>
  </si>
  <si>
    <t>Practice project — all records and figures are sample/demo data.</t>
  </si>
  <si>
    <t>Total Leads</t>
  </si>
  <si>
    <t>Contacted or Further Along</t>
  </si>
  <si>
    <t>Converted Leads</t>
  </si>
  <si>
    <t>Lead-to-Sale Conversion Rate</t>
  </si>
  <si>
    <t>Sample Revenue</t>
  </si>
  <si>
    <t>How to use</t>
  </si>
  <si>
    <t>1. Replace demo customer labels with real, consented leads if you have them.</t>
  </si>
  <si>
    <t>2. Update Lead Source, Lead Status, Follow-up Date, Notes and Revenue.</t>
  </si>
  <si>
    <t>3. Dashboard metrics update automatically in Excel/Google Sheets.</t>
  </si>
  <si>
    <t>4. Do not present sample figures as actual work experience or real sales results.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</si>
</sst>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 mmm yyyy"/>
    <numFmt numFmtId="165" formatCode="₹#,##0"/>
    <numFmt numFmtId="166" formatCode="0.0%"/>
  </numFmts>
  <fonts count="7">
    <font>
      <sz val="11.0"/>
      <color/>
      <name val="Arial"/>
      <scheme val="minor"/>
    </font>
    <font>
      <b/>
      <sz val="16.0"/>
      <color rgb="FFFFFFFF"/>
    </font>
    <font/>
    <font>
      <b/>
    </font>
    <font>
      <sz val="11.0"/>
      <color/>
      <name val="Calibri"/>
    </font>
    <font>
      <b/>
      <color rgb="FFFFFFFF"/>
    </font>
    <font>
      <i/>
      <color rgb="FFC00000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DBE5F1"/>
        <bgColor rgb="FFDBE5F1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3" fontId="3" numFmtId="0" xfId="0" applyBorder="1" applyFill="1" applyFont="1"/>
    <xf borderId="0" fillId="0" fontId="4" numFmtId="0" xfId="0" applyAlignment="1" applyFont="1">
      <alignment shrinkToFit="0" vertical="top" wrapText="1"/>
    </xf>
    <xf borderId="3" fillId="0" fontId="5" numFmtId="0" xfId="0" applyAlignment="1" applyBorder="1" applyFont="1">
      <alignment horizontal="center" shrinkToFit="0" vertical="center" wrapText="1"/>
    </xf>
    <xf borderId="0" fillId="4" fontId="4" numFmtId="0" xfId="0" applyAlignment="1" applyFill="1" applyFont="1">
      <alignment shrinkToFit="0" vertical="top" wrapText="1"/>
    </xf>
    <xf borderId="0" fillId="4" fontId="4" numFmtId="164" xfId="0" applyAlignment="1" applyFill="1" applyFont="1" applyNumberFormat="1">
      <alignment shrinkToFit="0" vertical="top" wrapText="1"/>
    </xf>
    <xf borderId="0" fillId="4" fontId="4" numFmtId="165" xfId="0" applyAlignment="1" applyFill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4" numFmtId="165" xfId="0" applyAlignment="1" applyFont="1" applyNumberFormat="1">
      <alignment shrinkToFit="0" vertical="top" wrapText="1"/>
    </xf>
    <xf borderId="0" fillId="0" fontId="6" numFmtId="0" xfId="0" applyFont="1"/>
    <xf borderId="0" fillId="0" fontId="4" numFmtId="0" xfId="0" applyAlignment="1" applyFon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1" fillId="2" fontId="5" numFmtId="0" xfId="0" applyBorder="1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83.13"/>
    <col customWidth="1" min="3" max="11" width="7.63"/>
  </cols>
  <sheetData>
    <row r="1">
      <c r="A1" s="1" t="s">
        <v>0</v>
      </c>
      <c r="B1" s="2"/>
    </row>
    <row r="3" ht="27.75" customHeight="1">
      <c r="A3" s="3" t="s">
        <v>1</v>
      </c>
      <c r="B3" s="4" t="s">
        <v>2</v>
      </c>
    </row>
    <row r="4" ht="27.75" customHeight="1">
      <c r="A4" s="3" t="s">
        <v>3</v>
      </c>
      <c r="B4" s="4" t="s">
        <v>4</v>
      </c>
    </row>
    <row r="5" ht="27.75" customHeight="1">
      <c r="A5" s="3" t="s">
        <v>5</v>
      </c>
      <c r="B5" s="4" t="s">
        <v>6</v>
      </c>
    </row>
    <row r="7" ht="37.5" customHeight="1">
      <c r="A7" s="3" t="s">
        <v>7</v>
      </c>
      <c r="B7" s="4" t="s">
        <v>8</v>
      </c>
    </row>
    <row r="9" ht="37.5" customHeight="1">
      <c r="A9" s="3" t="s">
        <v>9</v>
      </c>
      <c r="B9" s="4" t="s">
        <v>10</v>
      </c>
    </row>
    <row r="11" ht="37.5" customHeight="1">
      <c r="A11" s="3" t="s">
        <v>11</v>
      </c>
      <c r="B11" s="4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3" width="15.75"/>
    <col customWidth="1" min="4" max="4" width="17.5"/>
    <col customWidth="1" min="5" max="5" width="24.5"/>
    <col customWidth="1" min="6" max="6" width="17.5"/>
    <col customWidth="1" min="7" max="11" width="7.63"/>
  </cols>
  <sheetData>
    <row r="1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</row>
    <row r="2">
      <c r="A2" s="6" t="s">
        <v>19</v>
      </c>
      <c r="B2" s="6" t="s">
        <v>20</v>
      </c>
      <c r="C2" s="6" t="s">
        <v>21</v>
      </c>
      <c r="D2" s="7" t="s">
        <v>22</v>
      </c>
      <c r="E2" s="6" t="s">
        <v>23</v>
      </c>
      <c r="F2" s="8">
        <v>0.0</v>
      </c>
    </row>
    <row r="3">
      <c r="A3" s="9" t="s">
        <v>24</v>
      </c>
      <c r="B3" s="9" t="s">
        <v>25</v>
      </c>
      <c r="C3" s="9" t="s">
        <v>26</v>
      </c>
      <c r="D3" s="10" t="s">
        <v>27</v>
      </c>
      <c r="E3" s="9" t="s">
        <v>28</v>
      </c>
      <c r="F3" s="11">
        <v>0.0</v>
      </c>
    </row>
    <row r="4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  <c r="F4" s="8">
        <v>2000.0</v>
      </c>
    </row>
    <row r="5">
      <c r="A5" s="9" t="s">
        <v>34</v>
      </c>
      <c r="B5" s="9" t="s">
        <v>20</v>
      </c>
      <c r="C5" s="9" t="s">
        <v>35</v>
      </c>
      <c r="D5" s="10" t="s">
        <v>36</v>
      </c>
      <c r="E5" s="9" t="s">
        <v>37</v>
      </c>
      <c r="F5" s="11">
        <v>0.0</v>
      </c>
    </row>
    <row r="6">
      <c r="A6" s="6" t="s">
        <v>38</v>
      </c>
      <c r="B6" s="6" t="s">
        <v>25</v>
      </c>
      <c r="C6" s="6" t="s">
        <v>39</v>
      </c>
      <c r="D6" s="7" t="s">
        <v>40</v>
      </c>
      <c r="E6" s="6" t="s">
        <v>41</v>
      </c>
      <c r="F6" s="8">
        <v>0.0</v>
      </c>
    </row>
    <row r="7">
      <c r="A7" s="9" t="s">
        <v>42</v>
      </c>
      <c r="B7" s="9" t="s">
        <v>30</v>
      </c>
      <c r="C7" s="9" t="s">
        <v>21</v>
      </c>
      <c r="D7" s="10" t="s">
        <v>43</v>
      </c>
      <c r="E7" s="9" t="s">
        <v>44</v>
      </c>
      <c r="F7" s="11">
        <v>0.0</v>
      </c>
    </row>
    <row r="8">
      <c r="A8" s="6" t="s">
        <v>45</v>
      </c>
      <c r="B8" s="6" t="s">
        <v>20</v>
      </c>
      <c r="C8" s="6" t="s">
        <v>31</v>
      </c>
      <c r="D8" s="6" t="s">
        <v>32</v>
      </c>
      <c r="E8" s="6" t="s">
        <v>33</v>
      </c>
      <c r="F8" s="8">
        <v>1500.0</v>
      </c>
    </row>
    <row r="9">
      <c r="A9" s="9" t="s">
        <v>46</v>
      </c>
      <c r="B9" s="9" t="s">
        <v>47</v>
      </c>
      <c r="C9" s="9" t="s">
        <v>26</v>
      </c>
      <c r="D9" s="10" t="s">
        <v>48</v>
      </c>
      <c r="E9" s="9" t="s">
        <v>49</v>
      </c>
      <c r="F9" s="11">
        <v>0.0</v>
      </c>
    </row>
    <row r="10">
      <c r="A10" s="6" t="s">
        <v>50</v>
      </c>
      <c r="B10" s="6" t="s">
        <v>25</v>
      </c>
      <c r="C10" s="6" t="s">
        <v>51</v>
      </c>
      <c r="D10" s="6" t="s">
        <v>52</v>
      </c>
      <c r="E10" s="6" t="s">
        <v>53</v>
      </c>
      <c r="F10" s="8">
        <v>0.0</v>
      </c>
    </row>
    <row r="11">
      <c r="A11" s="9" t="s">
        <v>54</v>
      </c>
      <c r="B11" s="9" t="s">
        <v>30</v>
      </c>
      <c r="C11" s="9" t="s">
        <v>39</v>
      </c>
      <c r="D11" s="10" t="s">
        <v>55</v>
      </c>
      <c r="E11" s="9" t="s">
        <v>41</v>
      </c>
      <c r="F11" s="1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F$1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1.5"/>
    <col customWidth="1" min="2" max="2" width="19.25"/>
    <col customWidth="1" min="3" max="11" width="7.63"/>
  </cols>
  <sheetData>
    <row r="1">
      <c r="A1" s="1" t="s">
        <v>56</v>
      </c>
      <c r="B1" s="2"/>
    </row>
    <row r="2">
      <c r="A2" s="12" t="s">
        <v>57</v>
      </c>
    </row>
    <row r="3">
      <c r="A3" s="3" t="s">
        <v>58</v>
      </c>
      <c r="B3" s="13" t="str">
        <f>COUNTA('Lead Tracker'!A2:A11)</f>
        <v>10</v>
      </c>
    </row>
    <row r="4">
      <c r="A4" s="3" t="s">
        <v>59</v>
      </c>
      <c r="B4" s="13" t="str">
        <f>COUNTIF('Lead Tracker'!C2:C11,"Contacted")+COUNTIF('Lead Tracker'!C2:C11,"Interested")+COUNTIF('Lead Tracker'!C2:C11,"Follow-up")+COUNTIF('Lead Tracker'!C2:C11,"Converted")+COUNTIF('Lead Tracker'!C2:C11,"Lost")</f>
        <v>8</v>
      </c>
    </row>
    <row r="5">
      <c r="A5" s="3" t="s">
        <v>60</v>
      </c>
      <c r="B5" s="13" t="str">
        <f>COUNTIF('Lead Tracker'!C2:C11,"Converted")</f>
        <v>2</v>
      </c>
    </row>
    <row r="6">
      <c r="A6" s="3" t="s">
        <v>61</v>
      </c>
      <c r="B6" s="14" t="str">
        <f>IFERROR(B5/B3,0)</f>
        <v>20.0%</v>
      </c>
    </row>
    <row r="7">
      <c r="A7" s="3" t="s">
        <v>62</v>
      </c>
      <c r="B7" s="15" t="str">
        <f>SUM('Lead Tracker'!F2:F11)</f>
        <v>₹3,500</v>
      </c>
    </row>
    <row r="9">
      <c r="A9" s="16" t="s">
        <v>63</v>
      </c>
      <c r="B9" s="2"/>
    </row>
    <row r="10" ht="30.0" customHeight="1">
      <c r="A10" s="4" t="s">
        <v>64</v>
      </c>
    </row>
    <row r="11" ht="30.0" customHeight="1">
      <c r="A11" s="4" t="s">
        <v>65</v>
      </c>
    </row>
    <row r="12" ht="30.0" customHeight="1">
      <c r="A12" s="4" t="s">
        <v>66</v>
      </c>
    </row>
    <row r="13" ht="30.0" customHeight="1">
      <c r="A13" s="4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2:B2"/>
    <mergeCell ref="A11:B11"/>
    <mergeCell ref="A10:B10"/>
    <mergeCell ref="A13:B13"/>
    <mergeCell ref="A1:B1"/>
    <mergeCell ref="A9:B9"/>
    <mergeCell ref="A12:B12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2026-10-14T09:21:19Z</dcterms:created>
  <dc:creator>openpyxl</dc:creator>
  <dcterms:modified xsi:type="dcterms:W3CDTF">2026-10-14T09:21:19Z</dcterms:modified>
</cp:coreProperties>
</file>